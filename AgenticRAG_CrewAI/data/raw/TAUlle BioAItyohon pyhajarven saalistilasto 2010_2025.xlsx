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C:\Users\Päivi\Desktop\0_PJIhommat_syksy2016\1_2_BioAI\TKI\dataaineistoja tau BioAI kehitykseen\"/>
    </mc:Choice>
  </mc:AlternateContent>
  <xr:revisionPtr revIDLastSave="1" documentId="13_ncr:1_{1FE56250-59B2-4766-ABCC-28313A6F4C76}" xr6:coauthVersionLast="47" xr6:coauthVersionMax="47" xr10:uidLastSave="{3221FDBD-5255-4F78-BA6E-9DEF16A10151}"/>
  <bookViews>
    <workbookView xWindow="-108" yWindow="-108" windowWidth="19416" windowHeight="10296" xr2:uid="{FDB1D494-80C8-497C-AF0F-D41BFD99F46D}"/>
  </bookViews>
  <sheets>
    <sheet name="dat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9" i="2" l="1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</calcChain>
</file>

<file path=xl/sharedStrings.xml><?xml version="1.0" encoding="utf-8"?>
<sst xmlns="http://schemas.openxmlformats.org/spreadsheetml/2006/main" count="18" uniqueCount="18">
  <si>
    <t>Säkylän Pyhäjärven hoitoyhdistys ry</t>
  </si>
  <si>
    <t>ARVIO PYHÄJÄRVEN KALA- JA RAPUSAALIISTA VUOSINA 2010 - 2027, kg</t>
  </si>
  <si>
    <t>VUOSI</t>
  </si>
  <si>
    <t>KALALAJI</t>
  </si>
  <si>
    <t>AHVEN</t>
  </si>
  <si>
    <t>HAUKI</t>
  </si>
  <si>
    <t>LAHNA</t>
  </si>
  <si>
    <t>MADE</t>
  </si>
  <si>
    <t>MUIKKU</t>
  </si>
  <si>
    <t>KIISKI</t>
  </si>
  <si>
    <t>SIIKA</t>
  </si>
  <si>
    <t>KUORE</t>
  </si>
  <si>
    <t>TAIMEN</t>
  </si>
  <si>
    <t>SÄRKI</t>
  </si>
  <si>
    <t>SALAKKA</t>
  </si>
  <si>
    <t>SUUTARI</t>
  </si>
  <si>
    <t>Summa</t>
  </si>
  <si>
    <t>RAPUSAALIS KPL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</si>
</sst>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1" applyNumberFormat="1" applyFont="1"/>
    <xf numFmtId="1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87A61-753C-41DF-BF70-81EDAE9D549B}">
  <dimension ref="A1:Q21"/>
  <sheetViews>
    <sheetView tabSelected="1" topLeftCell="A4" workbookViewId="0">
      <selection activeCell="R7" sqref="R7"/>
    </sheetView>
  </sheetViews>
  <sheetFormatPr defaultRowHeight="14.45"/>
  <cols>
    <col min="2" max="2" width="14.5703125" customWidth="1"/>
  </cols>
  <sheetData>
    <row r="1" spans="1:1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>
      <c r="A5" s="1"/>
      <c r="B5" s="1"/>
      <c r="C5" s="1" t="s">
        <v>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>
      <c r="A6" s="1"/>
      <c r="B6" s="1" t="s">
        <v>3</v>
      </c>
      <c r="C6" s="1">
        <v>2010</v>
      </c>
      <c r="D6" s="1">
        <v>2011</v>
      </c>
      <c r="E6" s="1">
        <v>2012</v>
      </c>
      <c r="F6" s="1">
        <v>2013</v>
      </c>
      <c r="G6" s="1">
        <v>2014</v>
      </c>
      <c r="H6" s="1">
        <v>2015</v>
      </c>
      <c r="I6" s="1">
        <v>2016</v>
      </c>
      <c r="J6" s="1">
        <v>2017</v>
      </c>
      <c r="K6" s="1">
        <v>2018</v>
      </c>
      <c r="L6" s="1">
        <v>2019</v>
      </c>
      <c r="M6" s="1">
        <v>2020</v>
      </c>
      <c r="N6" s="1">
        <v>2021</v>
      </c>
      <c r="O6" s="1">
        <v>2022</v>
      </c>
      <c r="P6" s="1">
        <v>2023</v>
      </c>
      <c r="Q6" s="1">
        <v>2024</v>
      </c>
    </row>
    <row r="7" spans="1:17">
      <c r="A7" s="1"/>
      <c r="B7" s="1" t="s">
        <v>4</v>
      </c>
      <c r="C7" s="2">
        <v>101000</v>
      </c>
      <c r="D7" s="2">
        <v>110000</v>
      </c>
      <c r="E7" s="2">
        <v>140000</v>
      </c>
      <c r="F7" s="2">
        <v>130000</v>
      </c>
      <c r="G7" s="2">
        <v>174000</v>
      </c>
      <c r="H7" s="2">
        <v>176000</v>
      </c>
      <c r="I7" s="2">
        <v>178000</v>
      </c>
      <c r="J7" s="2">
        <v>145000</v>
      </c>
      <c r="K7" s="2">
        <v>110000</v>
      </c>
      <c r="L7" s="2">
        <v>104000</v>
      </c>
      <c r="M7" s="2">
        <v>106000</v>
      </c>
      <c r="N7" s="2">
        <v>105000</v>
      </c>
      <c r="O7" s="2">
        <v>107000</v>
      </c>
      <c r="P7" s="2">
        <v>100000</v>
      </c>
      <c r="Q7" s="2">
        <v>90000</v>
      </c>
    </row>
    <row r="8" spans="1:17">
      <c r="A8" s="1"/>
      <c r="B8" s="1" t="s">
        <v>5</v>
      </c>
      <c r="C8" s="2">
        <v>61000</v>
      </c>
      <c r="D8" s="2">
        <v>7500</v>
      </c>
      <c r="E8" s="2">
        <v>60000</v>
      </c>
      <c r="F8" s="2">
        <v>82000</v>
      </c>
      <c r="G8" s="2">
        <v>81000</v>
      </c>
      <c r="H8" s="2">
        <v>84000</v>
      </c>
      <c r="I8" s="2">
        <v>86000</v>
      </c>
      <c r="J8" s="2">
        <v>83000</v>
      </c>
      <c r="K8" s="2">
        <v>83000</v>
      </c>
      <c r="L8" s="2">
        <v>81000</v>
      </c>
      <c r="M8" s="2">
        <v>82000</v>
      </c>
      <c r="N8" s="2">
        <v>96000</v>
      </c>
      <c r="O8" s="2">
        <v>94000</v>
      </c>
      <c r="P8" s="2">
        <v>89000</v>
      </c>
      <c r="Q8" s="2">
        <v>79000</v>
      </c>
    </row>
    <row r="9" spans="1:17">
      <c r="A9" s="1"/>
      <c r="B9" s="1" t="s">
        <v>6</v>
      </c>
      <c r="C9" s="2">
        <v>3700</v>
      </c>
      <c r="D9" s="2">
        <v>5000</v>
      </c>
      <c r="E9" s="2">
        <v>10000</v>
      </c>
      <c r="F9" s="2">
        <v>11000</v>
      </c>
      <c r="G9" s="2">
        <v>45000</v>
      </c>
      <c r="H9" s="2">
        <v>51000</v>
      </c>
      <c r="I9" s="2">
        <v>49000</v>
      </c>
      <c r="J9" s="2">
        <v>48000</v>
      </c>
      <c r="K9" s="2">
        <v>40000</v>
      </c>
      <c r="L9" s="2">
        <v>37000</v>
      </c>
      <c r="M9" s="2">
        <v>19000</v>
      </c>
      <c r="N9" s="2">
        <v>23000</v>
      </c>
      <c r="O9" s="2">
        <v>22000</v>
      </c>
      <c r="P9" s="2">
        <v>17000</v>
      </c>
      <c r="Q9" s="2">
        <v>15000</v>
      </c>
    </row>
    <row r="10" spans="1:17">
      <c r="A10" s="1"/>
      <c r="B10" s="1" t="s">
        <v>7</v>
      </c>
      <c r="C10" s="2">
        <v>1600</v>
      </c>
      <c r="D10" s="2">
        <v>1500</v>
      </c>
      <c r="E10" s="2">
        <v>1200</v>
      </c>
      <c r="F10" s="2">
        <v>1100</v>
      </c>
      <c r="G10" s="2">
        <v>900</v>
      </c>
      <c r="H10" s="2">
        <v>1100</v>
      </c>
      <c r="I10" s="2">
        <v>1200</v>
      </c>
      <c r="J10" s="2">
        <v>1200</v>
      </c>
      <c r="K10" s="2">
        <v>1100</v>
      </c>
      <c r="L10" s="2">
        <v>1200</v>
      </c>
      <c r="M10" s="2">
        <v>400</v>
      </c>
      <c r="N10" s="2">
        <v>500</v>
      </c>
      <c r="O10" s="2">
        <v>400</v>
      </c>
      <c r="P10" s="2">
        <v>360</v>
      </c>
      <c r="Q10" s="2">
        <v>380</v>
      </c>
    </row>
    <row r="11" spans="1:17">
      <c r="A11" s="1"/>
      <c r="B11" s="1" t="s">
        <v>8</v>
      </c>
      <c r="C11" s="2">
        <v>125000</v>
      </c>
      <c r="D11" s="2">
        <v>115000</v>
      </c>
      <c r="E11" s="2">
        <v>51000</v>
      </c>
      <c r="F11" s="2">
        <v>91000</v>
      </c>
      <c r="G11" s="2">
        <v>72000</v>
      </c>
      <c r="H11" s="2">
        <v>80000</v>
      </c>
      <c r="I11" s="2">
        <v>95000</v>
      </c>
      <c r="J11" s="2">
        <v>151000</v>
      </c>
      <c r="K11" s="2">
        <v>120000</v>
      </c>
      <c r="L11" s="2">
        <v>127000</v>
      </c>
      <c r="M11" s="2">
        <v>74000</v>
      </c>
      <c r="N11" s="2">
        <v>51000</v>
      </c>
      <c r="O11" s="2">
        <v>59000</v>
      </c>
      <c r="P11" s="2">
        <v>61000</v>
      </c>
      <c r="Q11" s="2">
        <v>56000</v>
      </c>
    </row>
    <row r="12" spans="1:17">
      <c r="A12" s="1"/>
      <c r="B12" s="1" t="s">
        <v>9</v>
      </c>
      <c r="C12" s="2">
        <v>57000</v>
      </c>
      <c r="D12" s="2">
        <v>115000</v>
      </c>
      <c r="E12" s="2">
        <v>60000</v>
      </c>
      <c r="F12" s="2">
        <v>63000</v>
      </c>
      <c r="G12" s="2">
        <v>41000</v>
      </c>
      <c r="H12" s="2">
        <v>37000</v>
      </c>
      <c r="I12" s="2">
        <v>31000</v>
      </c>
      <c r="J12" s="2">
        <v>25000</v>
      </c>
      <c r="K12" s="2">
        <v>21000</v>
      </c>
      <c r="L12" s="2">
        <v>49000</v>
      </c>
      <c r="M12" s="2">
        <v>17000</v>
      </c>
      <c r="N12" s="2">
        <v>27000</v>
      </c>
      <c r="O12" s="2">
        <v>27000</v>
      </c>
      <c r="P12" s="2">
        <v>16000</v>
      </c>
      <c r="Q12" s="2">
        <v>14000</v>
      </c>
    </row>
    <row r="13" spans="1:17">
      <c r="A13" s="1"/>
      <c r="B13" s="1" t="s">
        <v>10</v>
      </c>
      <c r="C13" s="2">
        <v>18400</v>
      </c>
      <c r="D13" s="2">
        <v>20000</v>
      </c>
      <c r="E13" s="2">
        <v>21000</v>
      </c>
      <c r="F13" s="2">
        <v>16300</v>
      </c>
      <c r="G13" s="2">
        <v>17100</v>
      </c>
      <c r="H13" s="2">
        <v>19000</v>
      </c>
      <c r="I13" s="2">
        <v>21000</v>
      </c>
      <c r="J13" s="2">
        <v>23000</v>
      </c>
      <c r="K13" s="2">
        <v>24000</v>
      </c>
      <c r="L13" s="2">
        <v>29500</v>
      </c>
      <c r="M13" s="2">
        <v>22000</v>
      </c>
      <c r="N13" s="2">
        <v>26000</v>
      </c>
      <c r="O13" s="2">
        <v>24000</v>
      </c>
      <c r="P13" s="2">
        <v>20000</v>
      </c>
      <c r="Q13" s="2">
        <v>17000</v>
      </c>
    </row>
    <row r="14" spans="1:17">
      <c r="A14" s="1"/>
      <c r="B14" s="1" t="s">
        <v>11</v>
      </c>
      <c r="C14" s="2">
        <v>42800</v>
      </c>
      <c r="D14" s="2">
        <v>74000</v>
      </c>
      <c r="E14" s="2">
        <v>11000</v>
      </c>
      <c r="F14" s="2">
        <v>116000</v>
      </c>
      <c r="G14" s="2">
        <v>180000</v>
      </c>
      <c r="H14" s="2">
        <v>110000</v>
      </c>
      <c r="I14" s="2">
        <v>85000</v>
      </c>
      <c r="J14" s="2">
        <v>210000</v>
      </c>
      <c r="K14" s="2">
        <v>215000</v>
      </c>
      <c r="L14" s="2">
        <v>284000</v>
      </c>
      <c r="M14" s="2">
        <v>187000</v>
      </c>
      <c r="N14" s="2">
        <v>230000</v>
      </c>
      <c r="O14" s="2">
        <v>191000</v>
      </c>
      <c r="P14" s="2">
        <v>170000</v>
      </c>
      <c r="Q14" s="2">
        <v>177000</v>
      </c>
    </row>
    <row r="15" spans="1:17">
      <c r="A15" s="1"/>
      <c r="B15" s="1" t="s">
        <v>12</v>
      </c>
      <c r="C15" s="2">
        <v>800</v>
      </c>
      <c r="D15" s="2">
        <v>600</v>
      </c>
      <c r="E15" s="2">
        <v>500</v>
      </c>
      <c r="F15" s="2">
        <v>400</v>
      </c>
      <c r="G15" s="2">
        <v>500</v>
      </c>
      <c r="H15" s="2">
        <v>500</v>
      </c>
      <c r="I15" s="2">
        <v>375</v>
      </c>
      <c r="J15" s="2">
        <v>400</v>
      </c>
      <c r="K15" s="2">
        <v>400</v>
      </c>
      <c r="L15" s="2">
        <v>390</v>
      </c>
      <c r="M15" s="2">
        <v>200</v>
      </c>
      <c r="N15" s="2">
        <v>240</v>
      </c>
      <c r="O15" s="2">
        <v>220</v>
      </c>
      <c r="P15" s="2">
        <v>190</v>
      </c>
      <c r="Q15" s="2">
        <v>110</v>
      </c>
    </row>
    <row r="16" spans="1:17">
      <c r="A16" s="1"/>
      <c r="B16" s="1" t="s">
        <v>13</v>
      </c>
      <c r="C16" s="2">
        <v>111000</v>
      </c>
      <c r="D16" s="2">
        <v>150000</v>
      </c>
      <c r="E16" s="2">
        <v>210000</v>
      </c>
      <c r="F16" s="2">
        <v>230000</v>
      </c>
      <c r="G16" s="2">
        <v>180000</v>
      </c>
      <c r="H16" s="2">
        <v>200000</v>
      </c>
      <c r="I16" s="2">
        <v>215000</v>
      </c>
      <c r="J16" s="2">
        <v>198000</v>
      </c>
      <c r="K16" s="2">
        <v>185000</v>
      </c>
      <c r="L16" s="2">
        <v>137000</v>
      </c>
      <c r="M16" s="2">
        <v>141000</v>
      </c>
      <c r="N16" s="2">
        <v>139000</v>
      </c>
      <c r="O16" s="2">
        <v>136000</v>
      </c>
      <c r="P16" s="2">
        <v>140000</v>
      </c>
      <c r="Q16" s="2">
        <v>131000</v>
      </c>
    </row>
    <row r="17" spans="1:17">
      <c r="A17" s="1"/>
      <c r="B17" s="1" t="s">
        <v>14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>
        <v>6000</v>
      </c>
      <c r="N17" s="2">
        <v>6000</v>
      </c>
      <c r="O17" s="2">
        <v>5000</v>
      </c>
      <c r="P17" s="2">
        <v>4500</v>
      </c>
      <c r="Q17" s="2">
        <v>3000</v>
      </c>
    </row>
    <row r="18" spans="1:17">
      <c r="A18" s="1"/>
      <c r="B18" s="1" t="s">
        <v>15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>
        <v>1300</v>
      </c>
      <c r="N18" s="2">
        <v>2400</v>
      </c>
      <c r="O18" s="2">
        <v>2500</v>
      </c>
      <c r="P18" s="2">
        <v>3000</v>
      </c>
      <c r="Q18" s="2">
        <v>4000</v>
      </c>
    </row>
    <row r="19" spans="1:17">
      <c r="A19" s="1"/>
      <c r="B19" s="1" t="s">
        <v>16</v>
      </c>
      <c r="C19" s="2">
        <f t="shared" ref="C19:Q19" si="0">SUM(C7:C18)</f>
        <v>522300</v>
      </c>
      <c r="D19" s="2">
        <f t="shared" si="0"/>
        <v>598600</v>
      </c>
      <c r="E19" s="2">
        <f t="shared" si="0"/>
        <v>564700</v>
      </c>
      <c r="F19" s="2">
        <f t="shared" si="0"/>
        <v>740800</v>
      </c>
      <c r="G19" s="2">
        <f t="shared" si="0"/>
        <v>791500</v>
      </c>
      <c r="H19" s="2">
        <f t="shared" si="0"/>
        <v>758600</v>
      </c>
      <c r="I19" s="2">
        <f t="shared" si="0"/>
        <v>761575</v>
      </c>
      <c r="J19" s="2">
        <f t="shared" si="0"/>
        <v>884600</v>
      </c>
      <c r="K19" s="2">
        <f t="shared" si="0"/>
        <v>799500</v>
      </c>
      <c r="L19" s="2">
        <f t="shared" si="0"/>
        <v>850090</v>
      </c>
      <c r="M19" s="2">
        <f t="shared" si="0"/>
        <v>655900</v>
      </c>
      <c r="N19" s="2">
        <f t="shared" si="0"/>
        <v>706140</v>
      </c>
      <c r="O19" s="2">
        <f t="shared" si="0"/>
        <v>668120</v>
      </c>
      <c r="P19" s="2">
        <f t="shared" si="0"/>
        <v>621050</v>
      </c>
      <c r="Q19" s="2">
        <f t="shared" si="0"/>
        <v>586490</v>
      </c>
    </row>
    <row r="20" spans="1:17">
      <c r="A20" s="1"/>
      <c r="B20" s="1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1"/>
      <c r="B21" s="1" t="s">
        <v>17</v>
      </c>
      <c r="C21" s="1">
        <v>462000</v>
      </c>
      <c r="D21" s="1">
        <v>503000</v>
      </c>
      <c r="E21" s="1">
        <v>472000</v>
      </c>
      <c r="F21" s="1">
        <v>405000</v>
      </c>
      <c r="G21" s="1">
        <v>480000</v>
      </c>
      <c r="H21" s="1">
        <v>640000</v>
      </c>
      <c r="I21" s="1">
        <v>740000</v>
      </c>
      <c r="J21" s="1">
        <v>752000</v>
      </c>
      <c r="K21" s="1">
        <v>791000</v>
      </c>
      <c r="L21" s="1">
        <v>1002000</v>
      </c>
      <c r="M21" s="1">
        <v>1003000</v>
      </c>
      <c r="N21" s="1">
        <v>1100000</v>
      </c>
      <c r="O21" s="1">
        <v>1001000</v>
      </c>
      <c r="P21" s="1">
        <v>850000</v>
      </c>
      <c r="Q21" s="1">
        <v>800000</v>
      </c>
    </row>
  </sheetData>
  <pageMargins left="0.7" right="0.7" top="0.75" bottom="0.75" header="0.3" footer="0.3"/>
  <headerFooter>
    <oddHeader>&amp;R&amp;"Aptos"&amp;11&amp;K000000 TUNI Luottamuksellinen - Confidential (3Y)&amp;1#_x000D_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ab24d9-4602-41bc-b0af-37cdc3d2537f" xsi:nil="true"/>
    <lcf76f155ced4ddcb4097134ff3c332f xmlns="9c317bce-b947-47ab-a602-b10f4466a207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9C70EEF605D4FA5C62A7704D089A8" ma:contentTypeVersion="12" ma:contentTypeDescription="Create a new document." ma:contentTypeScope="" ma:versionID="2f8036d021f08edabc8cc018b4b3764c">
  <xsd:schema xmlns:xsd="http://www.w3.org/2001/XMLSchema" xmlns:xs="http://www.w3.org/2001/XMLSchema" xmlns:p="http://schemas.microsoft.com/office/2006/metadata/properties" xmlns:ns1="http://schemas.microsoft.com/sharepoint/v3" xmlns:ns2="9c317bce-b947-47ab-a602-b10f4466a207" xmlns:ns3="dcab24d9-4602-41bc-b0af-37cdc3d2537f" targetNamespace="http://schemas.microsoft.com/office/2006/metadata/properties" ma:root="true" ma:fieldsID="4e9e176af5ca322c67e3f786366e0a66" ns1:_="" ns2:_="" ns3:_="">
    <xsd:import namespace="http://schemas.microsoft.com/sharepoint/v3"/>
    <xsd:import namespace="9c317bce-b947-47ab-a602-b10f4466a207"/>
    <xsd:import namespace="dcab24d9-4602-41bc-b0af-37cdc3d253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17bce-b947-47ab-a602-b10f4466a2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ef07030-0f6a-43b1-b2b9-3b252e59de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ab24d9-4602-41bc-b0af-37cdc3d2537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8f6cf5b-c7a6-4ef0-94aa-5b23587bdcb9}" ma:internalName="TaxCatchAll" ma:showField="CatchAllData" ma:web="dcab24d9-4602-41bc-b0af-37cdc3d253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0E1769-E078-40D8-A1D0-5DB470F191A8}"/>
</file>

<file path=customXml/itemProps2.xml><?xml version="1.0" encoding="utf-8"?>
<ds:datastoreItem xmlns:ds="http://schemas.openxmlformats.org/officeDocument/2006/customXml" ds:itemID="{DE779287-206E-4955-916E-0FAA82623D7A}"/>
</file>

<file path=customXml/itemProps3.xml><?xml version="1.0" encoding="utf-8"?>
<ds:datastoreItem xmlns:ds="http://schemas.openxmlformats.org/officeDocument/2006/customXml" ds:itemID="{225E45A7-5C42-4BBA-A015-3C159F48E12A}"/>
</file>

<file path=docMetadata/LabelInfo.xml><?xml version="1.0" encoding="utf-8"?>
<clbl:labelList xmlns:clbl="http://schemas.microsoft.com/office/2020/mipLabelMetadata">
  <clbl:label id="{74814fa1-1a0b-42d1-967a-caddbf829325}" enabled="1" method="Standard" siteId="{fa6944af-cc7c-4cd8-9154-c0113279891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Päivi Laine</dc:creator>
  <cp:keywords/>
  <dc:description/>
  <cp:lastModifiedBy>Ayman Khan (TAU)</cp:lastModifiedBy>
  <cp:revision/>
  <dcterms:created xsi:type="dcterms:W3CDTF">2026-03-09T12:24:30Z</dcterms:created>
  <dcterms:modified xsi:type="dcterms:W3CDTF">2026-04-02T07:13:51Z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0x0101004F89C70EEF605D4FA5C62A7704D089A8</vt:lpwstr>
  </property>
  <property fmtid="{D5CDD505-2E9C-101B-9397-08002B2CF9AE}" pid="3" name="Order">
    <vt:r8>504000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