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Jaetut tiedostot\VESISTÖNKUNNOSTUSHANKKEET\VESMO -hanke\VESMO oppimateriaalit\Putkipesä\"/>
    </mc:Choice>
  </mc:AlternateContent>
  <bookViews>
    <workbookView xWindow="0" yWindow="0" windowWidth="23040" windowHeight="9384"/>
  </bookViews>
  <sheets>
    <sheet name="Tau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7" i="1"/>
  <c r="H5" i="1"/>
  <c r="H4" i="1"/>
  <c r="H3" i="1"/>
  <c r="H13" i="1"/>
  <c r="H12" i="1"/>
  <c r="H11" i="1"/>
  <c r="H10" i="1"/>
  <c r="H9" i="1"/>
  <c r="H8" i="1"/>
  <c r="F3" i="1"/>
  <c r="F6" i="1"/>
  <c r="F5" i="1"/>
  <c r="F4" i="1"/>
  <c r="D14" i="1"/>
  <c r="F14" i="1" s="1"/>
  <c r="F7" i="1"/>
  <c r="F8" i="1"/>
  <c r="F9" i="1"/>
  <c r="F11" i="1"/>
  <c r="F12" i="1"/>
  <c r="F13" i="1"/>
  <c r="F10" i="1"/>
  <c r="H14" i="1" l="1"/>
</calcChain>
</file>

<file path=xl/sharedStrings.xml><?xml version="1.0" encoding="utf-8"?>
<sst xmlns="http://schemas.openxmlformats.org/spreadsheetml/2006/main" count="72" uniqueCount="32">
  <si>
    <t>Levyleikkeet</t>
  </si>
  <si>
    <t>Maali</t>
  </si>
  <si>
    <t>Putki 4m</t>
  </si>
  <si>
    <t>https://www.puuilo.fi/finbullet-telasetti-100mm-6-os</t>
  </si>
  <si>
    <t>https://www.puuilo.fi/maston-maali-1l-121-matta-musta</t>
  </si>
  <si>
    <t>https://www.motonet.fi/fi/tuote/148490/55mm-suora-putki-2m</t>
  </si>
  <si>
    <t>Yhteensä:</t>
  </si>
  <si>
    <t>Maalaustela</t>
  </si>
  <si>
    <t>Savira Oy</t>
  </si>
  <si>
    <t>Puukuitu</t>
  </si>
  <si>
    <t>€</t>
  </si>
  <si>
    <t>Verkko</t>
  </si>
  <si>
    <t>Liikennemerkin putkivarret</t>
  </si>
  <si>
    <t>Lauta 25x125mm</t>
  </si>
  <si>
    <t>Sinkilät 3/8</t>
  </si>
  <si>
    <t>https://www.puuilo.fi/katiskasinkila-800g</t>
  </si>
  <si>
    <t>https://www.stark-suomi.fi/tuote/sahatavara-kuusi-22x125-mm-v-st-39wt</t>
  </si>
  <si>
    <t>https://www.puuilo.fi/topsafe-uni-kattohuopa-musta-antrasiitti-1x8-m</t>
  </si>
  <si>
    <t>https://www.puuilo.fi/rutirex-koirankopinkuivike-n-8-10-kg?gclid=CjwKCAjw1ICZBhAzEiwAFfvFhE5pWN18Ne2Z2xCUXTumzHS3dAbtKw6kBl7YR-qD0L7TQMb_HWY2yRoCOIIQAvD_BwE</t>
  </si>
  <si>
    <t xml:space="preserve"> </t>
  </si>
  <si>
    <t>https://trafinoshop.fi/Jalustat-ja-kiinnikkeet/60mm-putkivarret/Liikennemerkin-putkivarsi-60-2700mm-6935/</t>
  </si>
  <si>
    <t>Sorsanpesä, rakenna pesä sorsille ja varmista poikuetuotanto. | Eräkontti (erakontti.fi)</t>
  </si>
  <si>
    <t>https://www.puuilo.fi/wurth-yleisruuvi-a2-rst-5x70mm-t25-100kpl</t>
  </si>
  <si>
    <t>Kustannus pesää kohden</t>
  </si>
  <si>
    <t>Linkki tuotteeseen:</t>
  </si>
  <si>
    <t>Hankittu määrä</t>
  </si>
  <si>
    <t>Yksikkökustannus</t>
  </si>
  <si>
    <t>Kokonaiskustannus</t>
  </si>
  <si>
    <t>Putkipesien kustannukset</t>
  </si>
  <si>
    <t>Ruuvit 60x5mm</t>
  </si>
  <si>
    <t>Aluskermi</t>
  </si>
  <si>
    <t xml:space="preserve">Materiaalien kokonaiskustannus 20kpl putkipesää kohti sekä 1kpl putkipesää kohden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</si>
</sst>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0" borderId="1" xfId="0" applyNumberFormat="1" applyBorder="1"/>
    <xf numFmtId="0" fontId="0" fillId="2" borderId="2" xfId="0" applyFill="1" applyBorder="1"/>
    <xf numFmtId="0" fontId="2" fillId="0" borderId="3" xfId="1" applyBorder="1"/>
    <xf numFmtId="0" fontId="2" fillId="0" borderId="3" xfId="1" applyBorder="1" applyAlignment="1">
      <alignment vertical="center"/>
    </xf>
    <xf numFmtId="0" fontId="0" fillId="0" borderId="3" xfId="0" applyBorder="1"/>
    <xf numFmtId="0" fontId="1" fillId="2" borderId="4" xfId="0" applyFont="1" applyFill="1" applyBorder="1"/>
    <xf numFmtId="0" fontId="0" fillId="0" borderId="5" xfId="0" applyNumberFormat="1" applyBorder="1"/>
    <xf numFmtId="0" fontId="1" fillId="3" borderId="5" xfId="0" applyNumberFormat="1" applyFont="1" applyFill="1" applyBorder="1"/>
    <xf numFmtId="0" fontId="0" fillId="0" borderId="6" xfId="0" applyBorder="1"/>
    <xf numFmtId="0" fontId="1" fillId="0" borderId="8" xfId="0" applyFont="1" applyBorder="1"/>
    <xf numFmtId="0" fontId="0" fillId="0" borderId="8" xfId="0" applyNumberFormat="1" applyBorder="1"/>
    <xf numFmtId="0" fontId="1" fillId="3" borderId="8" xfId="0" applyNumberFormat="1" applyFont="1" applyFill="1" applyBorder="1"/>
    <xf numFmtId="0" fontId="1" fillId="0" borderId="9" xfId="0" applyFont="1" applyBorder="1"/>
    <xf numFmtId="0" fontId="1" fillId="0" borderId="7" xfId="0" applyFont="1" applyBorder="1"/>
    <xf numFmtId="0" fontId="1" fillId="0" borderId="8" xfId="0" applyNumberFormat="1" applyFont="1" applyFill="1" applyBorder="1"/>
    <xf numFmtId="0" fontId="0" fillId="2" borderId="5" xfId="0" applyFont="1" applyFill="1" applyBorder="1"/>
    <xf numFmtId="0" fontId="0" fillId="0" borderId="5" xfId="0" applyNumberFormat="1" applyFont="1" applyFill="1" applyBorder="1"/>
    <xf numFmtId="0" fontId="1" fillId="0" borderId="0" xfId="0" applyFont="1"/>
    <xf numFmtId="0" fontId="0" fillId="3" borderId="5" xfId="0" applyNumberFormat="1" applyFont="1" applyFill="1" applyBorder="1"/>
  </cellXfs>
  <cellStyles count="2">
    <cellStyle name="Hyperlinkki" xfId="1" builtinId="8"/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uuilo.fi/finbullet-telasetti-100mm-6-os" TargetMode="External"/><Relationship Id="rId3" Type="http://schemas.openxmlformats.org/officeDocument/2006/relationships/hyperlink" Target="https://trafinoshop.fi/Jalustat-ja-kiinnikkeet/60mm-putkivarret/Liikennemerkin-putkivarsi-60-2700mm-6935/" TargetMode="External"/><Relationship Id="rId7" Type="http://schemas.openxmlformats.org/officeDocument/2006/relationships/hyperlink" Target="https://www.puuilo.fi/maston-maali-1l-121-matta-musta" TargetMode="External"/><Relationship Id="rId2" Type="http://schemas.openxmlformats.org/officeDocument/2006/relationships/hyperlink" Target="https://www.puuilo.fi/rutirex-koirankopinkuivike-n-8-10-kg?gclid=CjwKCAjw1ICZBhAzEiwAFfvFhE5pWN18Ne2Z2xCUXTumzHS3dAbtKw6kBl7YR-qD0L7TQMb_HWY2yRoCOIIQAvD_BwE" TargetMode="External"/><Relationship Id="rId1" Type="http://schemas.openxmlformats.org/officeDocument/2006/relationships/hyperlink" Target="https://www.puuilo.fi/topsafe-uni-kattohuopa-musta-antrasiitti-1x8-m" TargetMode="External"/><Relationship Id="rId6" Type="http://schemas.openxmlformats.org/officeDocument/2006/relationships/hyperlink" Target="https://www.motonet.fi/fi/tuote/148490/55mm-suora-putki-2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stark-suomi.fi/tuote/sahatavara-kuusi-22x125-mm-v-st-39wt" TargetMode="External"/><Relationship Id="rId10" Type="http://schemas.openxmlformats.org/officeDocument/2006/relationships/hyperlink" Target="https://www.puuilo.fi/wurth-yleisruuvi-a2-rst-5x70mm-t25-100kpl" TargetMode="External"/><Relationship Id="rId4" Type="http://schemas.openxmlformats.org/officeDocument/2006/relationships/hyperlink" Target="https://www.puuilo.fi/katiskasinkila-800g" TargetMode="External"/><Relationship Id="rId9" Type="http://schemas.openxmlformats.org/officeDocument/2006/relationships/hyperlink" Target="https://www.erakontti.fi/product/2940/sorsan-putkipesa--verkko--sis-toimituskul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4"/>
  <sheetViews>
    <sheetView tabSelected="1" workbookViewId="0">
      <selection activeCell="D2" sqref="D2"/>
    </sheetView>
  </sheetViews>
  <sheetFormatPr defaultRowHeight="14.4" x14ac:dyDescent="0.3"/>
  <cols>
    <col min="2" max="2" width="22.6640625" customWidth="1"/>
    <col min="3" max="3" width="14" customWidth="1"/>
    <col min="4" max="4" width="17.33203125" style="1" customWidth="1"/>
    <col min="5" max="5" width="2.21875" style="1" customWidth="1"/>
    <col min="6" max="6" width="16.109375" style="1" customWidth="1"/>
    <col min="7" max="7" width="2.21875" style="1" customWidth="1"/>
    <col min="8" max="8" width="22.109375" style="1" customWidth="1"/>
    <col min="9" max="9" width="2.21875" style="1" customWidth="1"/>
    <col min="10" max="10" width="53.6640625" customWidth="1"/>
  </cols>
  <sheetData>
    <row r="1" spans="2:11" ht="15" thickBot="1" x14ac:dyDescent="0.35">
      <c r="B1" s="20" t="s">
        <v>31</v>
      </c>
    </row>
    <row r="2" spans="2:11" x14ac:dyDescent="0.3">
      <c r="B2" s="16" t="s">
        <v>28</v>
      </c>
      <c r="C2" s="12" t="s">
        <v>25</v>
      </c>
      <c r="D2" s="14" t="s">
        <v>27</v>
      </c>
      <c r="E2" s="13"/>
      <c r="F2" s="17" t="s">
        <v>26</v>
      </c>
      <c r="G2" s="13"/>
      <c r="H2" s="14" t="s">
        <v>23</v>
      </c>
      <c r="I2" s="13"/>
      <c r="J2" s="15" t="s">
        <v>24</v>
      </c>
    </row>
    <row r="3" spans="2:11" x14ac:dyDescent="0.3">
      <c r="B3" s="4" t="s">
        <v>13</v>
      </c>
      <c r="C3" s="2">
        <v>40</v>
      </c>
      <c r="D3" s="3">
        <v>71.599999999999994</v>
      </c>
      <c r="E3" s="3" t="s">
        <v>10</v>
      </c>
      <c r="F3" s="3">
        <f t="shared" ref="F3:F14" si="0">D3/C3</f>
        <v>1.7899999999999998</v>
      </c>
      <c r="G3" s="3" t="s">
        <v>10</v>
      </c>
      <c r="H3" s="3">
        <f t="shared" ref="H3:H13" si="1">D3/20</f>
        <v>3.5799999999999996</v>
      </c>
      <c r="I3" s="3" t="s">
        <v>10</v>
      </c>
      <c r="J3" s="5" t="s">
        <v>16</v>
      </c>
      <c r="K3" t="s">
        <v>19</v>
      </c>
    </row>
    <row r="4" spans="2:11" x14ac:dyDescent="0.3">
      <c r="B4" s="4" t="s">
        <v>29</v>
      </c>
      <c r="C4" s="2">
        <v>2</v>
      </c>
      <c r="D4" s="3">
        <v>27.8</v>
      </c>
      <c r="E4" s="3" t="s">
        <v>10</v>
      </c>
      <c r="F4" s="3">
        <f t="shared" si="0"/>
        <v>13.9</v>
      </c>
      <c r="G4" s="3" t="s">
        <v>10</v>
      </c>
      <c r="H4" s="3">
        <f t="shared" si="1"/>
        <v>1.3900000000000001</v>
      </c>
      <c r="I4" s="3" t="s">
        <v>10</v>
      </c>
      <c r="J4" s="5" t="s">
        <v>22</v>
      </c>
      <c r="K4" t="s">
        <v>19</v>
      </c>
    </row>
    <row r="5" spans="2:11" x14ac:dyDescent="0.3">
      <c r="B5" s="4" t="s">
        <v>14</v>
      </c>
      <c r="C5" s="2">
        <v>1</v>
      </c>
      <c r="D5" s="3">
        <v>21.8</v>
      </c>
      <c r="E5" s="3" t="s">
        <v>10</v>
      </c>
      <c r="F5" s="3">
        <f t="shared" si="0"/>
        <v>21.8</v>
      </c>
      <c r="G5" s="3" t="s">
        <v>10</v>
      </c>
      <c r="H5" s="3">
        <f t="shared" si="1"/>
        <v>1.0900000000000001</v>
      </c>
      <c r="I5" s="3" t="s">
        <v>10</v>
      </c>
      <c r="J5" s="5" t="s">
        <v>15</v>
      </c>
      <c r="K5" t="s">
        <v>19</v>
      </c>
    </row>
    <row r="6" spans="2:11" x14ac:dyDescent="0.3">
      <c r="B6" s="4" t="s">
        <v>12</v>
      </c>
      <c r="C6" s="2">
        <v>40</v>
      </c>
      <c r="D6" s="3">
        <v>1438.4</v>
      </c>
      <c r="E6" s="3" t="s">
        <v>10</v>
      </c>
      <c r="F6" s="3">
        <f t="shared" si="0"/>
        <v>35.96</v>
      </c>
      <c r="G6" s="3" t="s">
        <v>10</v>
      </c>
      <c r="H6" s="3">
        <f t="shared" si="1"/>
        <v>71.92</v>
      </c>
      <c r="I6" s="3" t="s">
        <v>10</v>
      </c>
      <c r="J6" s="6" t="s">
        <v>20</v>
      </c>
      <c r="K6" t="s">
        <v>19</v>
      </c>
    </row>
    <row r="7" spans="2:11" x14ac:dyDescent="0.3">
      <c r="B7" s="4" t="s">
        <v>11</v>
      </c>
      <c r="C7" s="2">
        <v>2</v>
      </c>
      <c r="D7" s="3">
        <v>460</v>
      </c>
      <c r="E7" s="3" t="s">
        <v>10</v>
      </c>
      <c r="F7" s="3">
        <f t="shared" si="0"/>
        <v>230</v>
      </c>
      <c r="G7" s="3" t="s">
        <v>10</v>
      </c>
      <c r="H7" s="3">
        <f t="shared" si="1"/>
        <v>23</v>
      </c>
      <c r="I7" s="3" t="s">
        <v>10</v>
      </c>
      <c r="J7" s="5" t="s">
        <v>21</v>
      </c>
      <c r="K7" t="s">
        <v>19</v>
      </c>
    </row>
    <row r="8" spans="2:11" x14ac:dyDescent="0.3">
      <c r="B8" s="4" t="s">
        <v>30</v>
      </c>
      <c r="C8" s="2">
        <v>2</v>
      </c>
      <c r="D8" s="3">
        <v>169.8</v>
      </c>
      <c r="E8" s="3" t="s">
        <v>10</v>
      </c>
      <c r="F8" s="3">
        <f t="shared" si="0"/>
        <v>84.9</v>
      </c>
      <c r="G8" s="3" t="s">
        <v>10</v>
      </c>
      <c r="H8" s="3">
        <f t="shared" si="1"/>
        <v>8.49</v>
      </c>
      <c r="I8" s="3" t="s">
        <v>10</v>
      </c>
      <c r="J8" s="5" t="s">
        <v>17</v>
      </c>
      <c r="K8" t="s">
        <v>19</v>
      </c>
    </row>
    <row r="9" spans="2:11" x14ac:dyDescent="0.3">
      <c r="B9" s="4" t="s">
        <v>9</v>
      </c>
      <c r="C9" s="2">
        <v>5</v>
      </c>
      <c r="D9" s="3">
        <v>137.5</v>
      </c>
      <c r="E9" s="3" t="s">
        <v>10</v>
      </c>
      <c r="F9" s="3">
        <f t="shared" si="0"/>
        <v>27.5</v>
      </c>
      <c r="G9" s="3" t="s">
        <v>10</v>
      </c>
      <c r="H9" s="3">
        <f t="shared" si="1"/>
        <v>6.875</v>
      </c>
      <c r="I9" s="3" t="s">
        <v>10</v>
      </c>
      <c r="J9" s="6" t="s">
        <v>18</v>
      </c>
      <c r="K9" t="s">
        <v>19</v>
      </c>
    </row>
    <row r="10" spans="2:11" x14ac:dyDescent="0.3">
      <c r="B10" s="4" t="s">
        <v>0</v>
      </c>
      <c r="C10" s="2">
        <v>40</v>
      </c>
      <c r="D10" s="3">
        <v>366.12</v>
      </c>
      <c r="E10" s="3" t="s">
        <v>10</v>
      </c>
      <c r="F10" s="3">
        <f t="shared" si="0"/>
        <v>9.1530000000000005</v>
      </c>
      <c r="G10" s="3" t="s">
        <v>10</v>
      </c>
      <c r="H10" s="3">
        <f t="shared" si="1"/>
        <v>18.306000000000001</v>
      </c>
      <c r="I10" s="3" t="s">
        <v>10</v>
      </c>
      <c r="J10" s="7" t="s">
        <v>8</v>
      </c>
    </row>
    <row r="11" spans="2:11" x14ac:dyDescent="0.3">
      <c r="B11" s="4" t="s">
        <v>2</v>
      </c>
      <c r="C11" s="2">
        <v>2</v>
      </c>
      <c r="D11" s="3">
        <v>39.799999999999997</v>
      </c>
      <c r="E11" s="3" t="s">
        <v>10</v>
      </c>
      <c r="F11" s="3">
        <f t="shared" si="0"/>
        <v>19.899999999999999</v>
      </c>
      <c r="G11" s="3" t="s">
        <v>10</v>
      </c>
      <c r="H11" s="3">
        <f t="shared" si="1"/>
        <v>1.9899999999999998</v>
      </c>
      <c r="I11" s="3" t="s">
        <v>10</v>
      </c>
      <c r="J11" s="5" t="s">
        <v>5</v>
      </c>
    </row>
    <row r="12" spans="2:11" x14ac:dyDescent="0.3">
      <c r="B12" s="4" t="s">
        <v>1</v>
      </c>
      <c r="C12" s="2">
        <v>1</v>
      </c>
      <c r="D12" s="3">
        <v>19.899999999999999</v>
      </c>
      <c r="E12" s="3" t="s">
        <v>10</v>
      </c>
      <c r="F12" s="3">
        <f t="shared" si="0"/>
        <v>19.899999999999999</v>
      </c>
      <c r="G12" s="3" t="s">
        <v>10</v>
      </c>
      <c r="H12" s="3">
        <f t="shared" si="1"/>
        <v>0.99499999999999988</v>
      </c>
      <c r="I12" s="3" t="s">
        <v>10</v>
      </c>
      <c r="J12" s="5" t="s">
        <v>4</v>
      </c>
    </row>
    <row r="13" spans="2:11" x14ac:dyDescent="0.3">
      <c r="B13" s="4" t="s">
        <v>7</v>
      </c>
      <c r="C13" s="2">
        <v>1</v>
      </c>
      <c r="D13" s="3">
        <v>5.99</v>
      </c>
      <c r="E13" s="3" t="s">
        <v>10</v>
      </c>
      <c r="F13" s="3">
        <f t="shared" si="0"/>
        <v>5.99</v>
      </c>
      <c r="G13" s="3" t="s">
        <v>10</v>
      </c>
      <c r="H13" s="3">
        <f t="shared" si="1"/>
        <v>0.29949999999999999</v>
      </c>
      <c r="I13" s="3" t="s">
        <v>10</v>
      </c>
      <c r="J13" s="5" t="s">
        <v>3</v>
      </c>
    </row>
    <row r="14" spans="2:11" ht="15" thickBot="1" x14ac:dyDescent="0.35">
      <c r="B14" s="8" t="s">
        <v>6</v>
      </c>
      <c r="C14" s="18">
        <v>20</v>
      </c>
      <c r="D14" s="21">
        <f>SUM(D3:D13)</f>
        <v>2758.71</v>
      </c>
      <c r="E14" s="9" t="s">
        <v>10</v>
      </c>
      <c r="F14" s="19">
        <f t="shared" si="0"/>
        <v>137.93549999999999</v>
      </c>
      <c r="G14" s="9" t="s">
        <v>10</v>
      </c>
      <c r="H14" s="10">
        <f>SUM(H3:H13)</f>
        <v>137.93550000000002</v>
      </c>
      <c r="I14" s="9"/>
      <c r="J14" s="11"/>
    </row>
  </sheetData>
  <hyperlinks>
    <hyperlink ref="J8" r:id="rId1"/>
    <hyperlink ref="J9" r:id="rId2"/>
    <hyperlink ref="J6" r:id="rId3"/>
    <hyperlink ref="J5" r:id="rId4"/>
    <hyperlink ref="J3" r:id="rId5"/>
    <hyperlink ref="J11" r:id="rId6"/>
    <hyperlink ref="J12" r:id="rId7"/>
    <hyperlink ref="J13" r:id="rId8"/>
    <hyperlink ref="J7" r:id="rId9" display="https://www.erakontti.fi/product/2940/sorsan-putkipesa--verkko--sis-toimituskulut"/>
    <hyperlink ref="J4" r:id="rId10"/>
  </hyperlinks>
  <pageMargins left="0.7" right="0.7" top="0.75" bottom="0.75" header="0.3" footer="0.3"/>
  <pageSetup paperSize="9" orientation="portrait"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43364F91CFD6A34695F8F587D2D96B39" ma:contentTypeVersion="15" ma:contentTypeDescription="Luo uusi asiakirja." ma:contentTypeScope="" ma:versionID="ac2479e730bc4329c6c4898405d02688">
  <xsd:schema xmlns:xsd="http://www.w3.org/2001/XMLSchema" xmlns:xs="http://www.w3.org/2001/XMLSchema" xmlns:p="http://schemas.microsoft.com/office/2006/metadata/properties" xmlns:ns2="dfcbeb91-cdb4-43c1-80d3-93e3d39df843" xmlns:ns3="145c76b1-9c7a-4caf-9c0e-8e81bbf13a7c" targetNamespace="http://schemas.microsoft.com/office/2006/metadata/properties" ma:root="true" ma:fieldsID="3e1202a1a5c85b11f0d057b482f58d68" ns2:_="" ns3:_="">
    <xsd:import namespace="dfcbeb91-cdb4-43c1-80d3-93e3d39df843"/>
    <xsd:import namespace="145c76b1-9c7a-4caf-9c0e-8e81bbf13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beb91-cdb4-43c1-80d3-93e3d39d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Kuvien tunnisteet" ma:readOnly="false" ma:fieldId="{5cf76f15-5ced-4ddc-b409-7134ff3c332f}" ma:taxonomyMulti="true" ma:sspId="eef07030-0f6a-43b1-b2b9-3b252e59d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76b1-9c7a-4caf-9c0e-8e81bbf13a7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6c2947b-1215-4f3f-9806-8d8b688bff04}" ma:internalName="TaxCatchAll" ma:showField="CatchAllData" ma:web="145c76b1-9c7a-4caf-9c0e-8e81bbf13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5c76b1-9c7a-4caf-9c0e-8e81bbf13a7c" xsi:nil="true"/>
    <lcf76f155ced4ddcb4097134ff3c332f xmlns="dfcbeb91-cdb4-43c1-80d3-93e3d39df8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8F980F-4D73-4685-9CC2-E99E14074B02}"/>
</file>

<file path=customXml/itemProps2.xml><?xml version="1.0" encoding="utf-8"?>
<ds:datastoreItem xmlns:ds="http://schemas.openxmlformats.org/officeDocument/2006/customXml" ds:itemID="{3A4FCA95-0F89-42A6-B98C-F9A7EA95B14B}"/>
</file>

<file path=customXml/itemProps3.xml><?xml version="1.0" encoding="utf-8"?>
<ds:datastoreItem xmlns:ds="http://schemas.openxmlformats.org/officeDocument/2006/customXml" ds:itemID="{30FD649A-CDCA-46E5-B32D-F118CCE216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Kemppainen</dc:creator>
  <cp:lastModifiedBy>Otto Kemppainen</cp:lastModifiedBy>
  <cp:lastPrinted>2023-09-06T13:22:25Z</cp:lastPrinted>
  <dcterms:created xsi:type="dcterms:W3CDTF">2023-01-27T13:20:43Z</dcterms:created>
  <dcterms:modified xsi:type="dcterms:W3CDTF">2023-09-08T05:03:21Z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0x01010043364F91CFD6A34695F8F587D2D96B39</vt:lpwstr>
  </property>
</Properties>
</file>